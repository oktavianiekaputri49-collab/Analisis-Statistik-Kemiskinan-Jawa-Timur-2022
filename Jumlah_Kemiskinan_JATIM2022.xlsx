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13_ncr:1_{E8FFD628-06C7-407F-98FF-0D8E5275820C}" xr6:coauthVersionLast="47" xr6:coauthVersionMax="47" xr10:uidLastSave="{00000000-0000-0000-0000-000000000000}"/>
  <bookViews>
    <workbookView xWindow="-110" yWindow="-110" windowWidth="19420" windowHeight="10300" xr2:uid="{9488D106-C426-4EDF-9775-ACB780B38A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5" i="1" l="1"/>
  <c r="D47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" i="1"/>
  <c r="D43" i="1" l="1"/>
  <c r="F4" i="1" s="1"/>
  <c r="G4" i="1" s="1"/>
  <c r="D42" i="1"/>
  <c r="E4" i="1"/>
  <c r="F41" i="1"/>
  <c r="G41" i="1" s="1"/>
  <c r="E41" i="1"/>
  <c r="F40" i="1"/>
  <c r="G40" i="1" s="1"/>
  <c r="E40" i="1"/>
  <c r="F39" i="1"/>
  <c r="G39" i="1" s="1"/>
  <c r="E39" i="1"/>
  <c r="F38" i="1"/>
  <c r="G38" i="1" s="1"/>
  <c r="E38" i="1"/>
  <c r="F37" i="1"/>
  <c r="G37" i="1" s="1"/>
  <c r="E37" i="1"/>
  <c r="F36" i="1"/>
  <c r="G36" i="1" s="1"/>
  <c r="E36" i="1"/>
  <c r="F35" i="1"/>
  <c r="G35" i="1" s="1"/>
  <c r="E35" i="1"/>
  <c r="F34" i="1"/>
  <c r="G34" i="1" s="1"/>
  <c r="E34" i="1"/>
  <c r="F33" i="1"/>
  <c r="G33" i="1" s="1"/>
  <c r="E33" i="1"/>
  <c r="F32" i="1"/>
  <c r="G32" i="1" s="1"/>
  <c r="E32" i="1"/>
  <c r="F31" i="1"/>
  <c r="G31" i="1" s="1"/>
  <c r="E31" i="1"/>
  <c r="F30" i="1"/>
  <c r="G30" i="1" s="1"/>
  <c r="E30" i="1"/>
  <c r="F29" i="1"/>
  <c r="G29" i="1" s="1"/>
  <c r="E29" i="1"/>
  <c r="F28" i="1"/>
  <c r="G28" i="1" s="1"/>
  <c r="E28" i="1"/>
  <c r="F27" i="1"/>
  <c r="G27" i="1" s="1"/>
  <c r="E27" i="1"/>
  <c r="F26" i="1"/>
  <c r="G26" i="1" s="1"/>
  <c r="E26" i="1"/>
  <c r="F25" i="1"/>
  <c r="G25" i="1" s="1"/>
  <c r="E25" i="1"/>
  <c r="F24" i="1"/>
  <c r="G24" i="1" s="1"/>
  <c r="E24" i="1"/>
  <c r="F23" i="1"/>
  <c r="G23" i="1" s="1"/>
  <c r="E23" i="1"/>
  <c r="F22" i="1"/>
  <c r="G22" i="1" s="1"/>
  <c r="E22" i="1"/>
  <c r="F21" i="1"/>
  <c r="G21" i="1" s="1"/>
  <c r="E21" i="1"/>
  <c r="F20" i="1"/>
  <c r="G20" i="1" s="1"/>
  <c r="E20" i="1"/>
  <c r="F19" i="1"/>
  <c r="G19" i="1" s="1"/>
  <c r="E19" i="1"/>
  <c r="F18" i="1"/>
  <c r="G18" i="1" s="1"/>
  <c r="E18" i="1"/>
  <c r="F17" i="1"/>
  <c r="G17" i="1" s="1"/>
  <c r="E17" i="1"/>
  <c r="F16" i="1"/>
  <c r="G16" i="1" s="1"/>
  <c r="E16" i="1"/>
  <c r="F15" i="1"/>
  <c r="G15" i="1" s="1"/>
  <c r="E15" i="1"/>
  <c r="F14" i="1"/>
  <c r="G14" i="1" s="1"/>
  <c r="E14" i="1"/>
  <c r="F13" i="1"/>
  <c r="G13" i="1" s="1"/>
  <c r="E13" i="1"/>
  <c r="F12" i="1"/>
  <c r="G12" i="1" s="1"/>
  <c r="E12" i="1"/>
  <c r="F11" i="1"/>
  <c r="G11" i="1" s="1"/>
  <c r="E11" i="1"/>
  <c r="F10" i="1"/>
  <c r="G10" i="1" s="1"/>
  <c r="E10" i="1"/>
  <c r="F9" i="1"/>
  <c r="G9" i="1" s="1"/>
  <c r="E9" i="1"/>
  <c r="F8" i="1"/>
  <c r="G8" i="1" s="1"/>
  <c r="E8" i="1"/>
  <c r="F7" i="1"/>
  <c r="G7" i="1" s="1"/>
  <c r="E7" i="1"/>
  <c r="F6" i="1"/>
  <c r="G6" i="1" s="1"/>
  <c r="E6" i="1"/>
  <c r="F5" i="1"/>
  <c r="G5" i="1" s="1"/>
  <c r="E5" i="1"/>
  <c r="D44" i="1" l="1"/>
  <c r="D48" i="1" s="1"/>
  <c r="D46" i="1"/>
</calcChain>
</file>

<file path=xl/sharedStrings.xml><?xml version="1.0" encoding="utf-8"?>
<sst xmlns="http://schemas.openxmlformats.org/spreadsheetml/2006/main" count="53" uniqueCount="45">
  <si>
    <t>Kabupaten/
Kota</t>
  </si>
  <si>
    <t>Jumlah
 Penduduk (Jiwa)</t>
  </si>
  <si>
    <t>Persentase 
Kemiskinan</t>
  </si>
  <si>
    <t>Kemiskinan 
(Ribuan)</t>
  </si>
  <si>
    <t>Proporsi</t>
  </si>
  <si>
    <t>xi-xbar</t>
  </si>
  <si>
    <t>(xi-xbar)^2</t>
  </si>
  <si>
    <t>Jumlah Kemiskinan di Jawa Timur Tahun 2022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</si>
  <si>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</si>
  <si>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</si>
  <si>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</si>
  <si>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</si>
  <si>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</si>
  <si>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</si>
  <si>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</si>
  <si>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</si>
  <si>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</si>
  <si>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</si>
  <si>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</si>
  <si>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</si>
  <si>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</si>
  <si>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</si>
  <si>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</si>
  <si>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</si>
  <si>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</si>
  <si>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</si>
  <si>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</si>
  <si>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</si>
  <si>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</si>
  <si>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</si>
  <si>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</si>
  <si>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</si>
  <si>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</si>
  <si>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</si>
  <si>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</si>
  <si>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</si>
  <si>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</si>
  <si>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Surabaya</t>
  </si>
  <si>
    <t>Batu</t>
  </si>
  <si>
    <t>Total</t>
  </si>
  <si>
    <t>Rata-rata</t>
  </si>
  <si>
    <t>Total Proporsi</t>
  </si>
  <si>
    <t>Total S^2</t>
  </si>
  <si>
    <t>S^2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</si>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</sst>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164" fontId="3" fillId="0" borderId="0" xfId="1" applyNumberFormat="1" applyFont="1"/>
    <xf numFmtId="2" fontId="3" fillId="0" borderId="0" xfId="0" applyNumberFormat="1" applyFont="1"/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43" fontId="2" fillId="2" borderId="1" xfId="1" applyFont="1" applyFill="1" applyBorder="1" applyAlignment="1">
      <alignment horizontal="center" vertical="center" wrapText="1"/>
    </xf>
    <xf numFmtId="43" fontId="2" fillId="2" borderId="1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2" fontId="2" fillId="0" borderId="0" xfId="0" applyNumberFormat="1" applyFont="1"/>
    <xf numFmtId="43" fontId="2" fillId="0" borderId="0" xfId="1" applyFont="1"/>
    <xf numFmtId="43" fontId="2" fillId="0" borderId="0" xfId="0" applyNumberFormat="1" applyFont="1"/>
    <xf numFmtId="43" fontId="3" fillId="0" borderId="1" xfId="1" applyFont="1" applyBorder="1"/>
    <xf numFmtId="43" fontId="3" fillId="0" borderId="1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E6F63-84E5-47A5-8634-891CD09647F6}">
  <dimension ref="A1:G48"/>
  <sheetViews>
    <sheetView tabSelected="1" topLeftCell="A3" workbookViewId="0">
      <selection activeCell="J11" sqref="J11"/>
    </sheetView>
  </sheetViews>
  <sheetFormatPr defaultRowHeight="15.5" x14ac:dyDescent="0.35"/>
  <cols>
    <col min="1" max="1" width="13.1796875" style="4" customWidth="1"/>
    <col min="2" max="2" width="18.1796875" style="4" customWidth="1"/>
    <col min="3" max="3" width="14.54296875" style="4" bestFit="1" customWidth="1"/>
    <col min="4" max="4" width="13.54296875" style="4" customWidth="1"/>
    <col min="5" max="5" width="11.08984375" style="4" customWidth="1"/>
    <col min="6" max="6" width="8.7265625" style="4"/>
    <col min="7" max="7" width="12.90625" style="4" customWidth="1"/>
    <col min="8" max="16384" width="8.7265625" style="4"/>
  </cols>
  <sheetData>
    <row r="1" spans="1:7" x14ac:dyDescent="0.35">
      <c r="A1" s="1" t="s">
        <v>7</v>
      </c>
      <c r="B1" s="2"/>
      <c r="C1" s="3"/>
    </row>
    <row r="2" spans="1:7" x14ac:dyDescent="0.35">
      <c r="B2" s="2"/>
      <c r="C2" s="3"/>
    </row>
    <row r="3" spans="1:7" ht="30" x14ac:dyDescent="0.35">
      <c r="A3" s="5" t="s">
        <v>0</v>
      </c>
      <c r="B3" s="6" t="s">
        <v>1</v>
      </c>
      <c r="C3" s="7" t="s">
        <v>2</v>
      </c>
      <c r="D3" s="8" t="s">
        <v>3</v>
      </c>
      <c r="E3" s="9" t="s">
        <v>4</v>
      </c>
      <c r="F3" s="10" t="s">
        <v>5</v>
      </c>
      <c r="G3" s="10" t="s">
        <v>6</v>
      </c>
    </row>
    <row r="4" spans="1:7" x14ac:dyDescent="0.35">
      <c r="A4" s="11" t="s">
        <v>8</v>
      </c>
      <c r="B4" s="11">
        <v>76.930000000000007</v>
      </c>
      <c r="C4" s="11">
        <v>13.8</v>
      </c>
      <c r="D4" s="15">
        <f>C4*B4/100</f>
        <v>10.616340000000003</v>
      </c>
      <c r="E4" s="16">
        <f>D4/B4</f>
        <v>0.13800000000000001</v>
      </c>
      <c r="F4" s="16">
        <f>D4-$D$43</f>
        <v>-2.5723093421052603</v>
      </c>
      <c r="G4" s="16">
        <f>F4^2</f>
        <v>6.6167753514819969</v>
      </c>
    </row>
    <row r="5" spans="1:7" x14ac:dyDescent="0.35">
      <c r="A5" s="11" t="s">
        <v>9</v>
      </c>
      <c r="B5" s="11">
        <v>81.8</v>
      </c>
      <c r="C5" s="11">
        <v>9.32</v>
      </c>
      <c r="D5" s="15">
        <f t="shared" ref="D5:D41" si="0">C5*B5/100</f>
        <v>7.6237599999999999</v>
      </c>
      <c r="E5" s="16">
        <f t="shared" ref="E5:E41" si="1">D5/B5</f>
        <v>9.3200000000000005E-2</v>
      </c>
      <c r="F5" s="16">
        <f t="shared" ref="F5:F41" si="2">D5-$D$43</f>
        <v>-5.5648893421052632</v>
      </c>
      <c r="G5" s="16">
        <f t="shared" ref="G5:G41" si="3">F5^2</f>
        <v>30.967993389876749</v>
      </c>
    </row>
    <row r="6" spans="1:7" x14ac:dyDescent="0.35">
      <c r="A6" s="11" t="s">
        <v>10</v>
      </c>
      <c r="B6" s="11">
        <v>76.75</v>
      </c>
      <c r="C6" s="11">
        <v>10.96</v>
      </c>
      <c r="D6" s="15">
        <f t="shared" si="0"/>
        <v>8.4118000000000013</v>
      </c>
      <c r="E6" s="16">
        <f t="shared" si="1"/>
        <v>0.10960000000000002</v>
      </c>
      <c r="F6" s="16">
        <f t="shared" si="2"/>
        <v>-4.7768493421052618</v>
      </c>
      <c r="G6" s="16">
        <f t="shared" si="3"/>
        <v>22.818289637171471</v>
      </c>
    </row>
    <row r="7" spans="1:7" x14ac:dyDescent="0.35">
      <c r="A7" s="11" t="s">
        <v>11</v>
      </c>
      <c r="B7" s="11">
        <v>70.52</v>
      </c>
      <c r="C7" s="11">
        <v>6.71</v>
      </c>
      <c r="D7" s="15">
        <f t="shared" si="0"/>
        <v>4.7318919999999993</v>
      </c>
      <c r="E7" s="16">
        <f t="shared" si="1"/>
        <v>6.7099999999999993E-2</v>
      </c>
      <c r="F7" s="16">
        <f t="shared" si="2"/>
        <v>-8.4567573421052629</v>
      </c>
      <c r="G7" s="16">
        <f t="shared" si="3"/>
        <v>71.516744743251266</v>
      </c>
    </row>
    <row r="8" spans="1:7" x14ac:dyDescent="0.35">
      <c r="A8" s="11" t="s">
        <v>12</v>
      </c>
      <c r="B8" s="11">
        <v>101.94</v>
      </c>
      <c r="C8" s="11">
        <v>8.7100000000000009</v>
      </c>
      <c r="D8" s="15">
        <f t="shared" si="0"/>
        <v>8.8789740000000013</v>
      </c>
      <c r="E8" s="16">
        <f t="shared" si="1"/>
        <v>8.7100000000000011E-2</v>
      </c>
      <c r="F8" s="16">
        <f t="shared" si="2"/>
        <v>-4.3096753421052618</v>
      </c>
      <c r="G8" s="16">
        <f t="shared" si="3"/>
        <v>18.573301554350106</v>
      </c>
    </row>
    <row r="9" spans="1:7" x14ac:dyDescent="0.35">
      <c r="A9" s="11" t="s">
        <v>13</v>
      </c>
      <c r="B9" s="11">
        <v>169.46</v>
      </c>
      <c r="C9" s="11">
        <v>10.65</v>
      </c>
      <c r="D9" s="15">
        <f t="shared" si="0"/>
        <v>18.047490000000003</v>
      </c>
      <c r="E9" s="16">
        <f t="shared" si="1"/>
        <v>0.10650000000000001</v>
      </c>
      <c r="F9" s="16">
        <f t="shared" si="2"/>
        <v>4.8588406578947403</v>
      </c>
      <c r="G9" s="16">
        <f t="shared" si="3"/>
        <v>23.608332538810991</v>
      </c>
    </row>
    <row r="10" spans="1:7" x14ac:dyDescent="0.35">
      <c r="A10" s="11" t="s">
        <v>14</v>
      </c>
      <c r="B10" s="11">
        <v>252.88</v>
      </c>
      <c r="C10" s="11">
        <v>9.5500000000000007</v>
      </c>
      <c r="D10" s="15">
        <f t="shared" si="0"/>
        <v>24.150040000000004</v>
      </c>
      <c r="E10" s="16">
        <f t="shared" si="1"/>
        <v>9.5500000000000015E-2</v>
      </c>
      <c r="F10" s="16">
        <f t="shared" si="2"/>
        <v>10.961390657894741</v>
      </c>
      <c r="G10" s="16">
        <f t="shared" si="3"/>
        <v>120.1520851549821</v>
      </c>
    </row>
    <row r="11" spans="1:7" x14ac:dyDescent="0.35">
      <c r="A11" s="11" t="s">
        <v>15</v>
      </c>
      <c r="B11" s="11">
        <v>95.04</v>
      </c>
      <c r="C11" s="11">
        <v>9.06</v>
      </c>
      <c r="D11" s="15">
        <f t="shared" si="0"/>
        <v>8.6106240000000014</v>
      </c>
      <c r="E11" s="16">
        <f t="shared" si="1"/>
        <v>9.0600000000000014E-2</v>
      </c>
      <c r="F11" s="16">
        <f t="shared" si="2"/>
        <v>-4.5780253421052617</v>
      </c>
      <c r="G11" s="16">
        <f t="shared" si="3"/>
        <v>20.958316032957999</v>
      </c>
    </row>
    <row r="12" spans="1:7" x14ac:dyDescent="0.35">
      <c r="A12" s="11" t="s">
        <v>16</v>
      </c>
      <c r="B12" s="11">
        <v>232.73</v>
      </c>
      <c r="C12" s="11">
        <v>9.39</v>
      </c>
      <c r="D12" s="15">
        <f t="shared" si="0"/>
        <v>21.853346999999999</v>
      </c>
      <c r="E12" s="16">
        <f t="shared" si="1"/>
        <v>9.3899999999999997E-2</v>
      </c>
      <c r="F12" s="16">
        <f t="shared" si="2"/>
        <v>8.6646976578947363</v>
      </c>
      <c r="G12" s="16">
        <f t="shared" si="3"/>
        <v>75.076985502726529</v>
      </c>
    </row>
    <row r="13" spans="1:7" x14ac:dyDescent="0.35">
      <c r="A13" s="11" t="s">
        <v>17</v>
      </c>
      <c r="B13" s="11">
        <v>122.01</v>
      </c>
      <c r="C13" s="11">
        <v>7.51</v>
      </c>
      <c r="D13" s="15">
        <f t="shared" si="0"/>
        <v>9.1629509999999996</v>
      </c>
      <c r="E13" s="16">
        <f t="shared" si="1"/>
        <v>7.51E-2</v>
      </c>
      <c r="F13" s="16">
        <f t="shared" si="2"/>
        <v>-4.0256983421052634</v>
      </c>
      <c r="G13" s="16">
        <f t="shared" si="3"/>
        <v>16.206247141629067</v>
      </c>
    </row>
    <row r="14" spans="1:7" x14ac:dyDescent="0.35">
      <c r="A14" s="11" t="s">
        <v>18</v>
      </c>
      <c r="B14" s="11">
        <v>105.69</v>
      </c>
      <c r="C14" s="11">
        <v>13.47</v>
      </c>
      <c r="D14" s="15">
        <f t="shared" si="0"/>
        <v>14.236443</v>
      </c>
      <c r="E14" s="16">
        <f t="shared" si="1"/>
        <v>0.13469999999999999</v>
      </c>
      <c r="F14" s="16">
        <f t="shared" si="2"/>
        <v>1.0477936578947364</v>
      </c>
      <c r="G14" s="16">
        <f t="shared" si="3"/>
        <v>1.097871549524432</v>
      </c>
    </row>
    <row r="15" spans="1:7" x14ac:dyDescent="0.35">
      <c r="A15" s="11" t="s">
        <v>19</v>
      </c>
      <c r="B15" s="11">
        <v>81.459999999999994</v>
      </c>
      <c r="C15" s="11">
        <v>11.78</v>
      </c>
      <c r="D15" s="15">
        <f t="shared" si="0"/>
        <v>9.5959879999999984</v>
      </c>
      <c r="E15" s="16">
        <f t="shared" si="1"/>
        <v>0.11779999999999999</v>
      </c>
      <c r="F15" s="16">
        <f t="shared" si="2"/>
        <v>-3.5926613421052647</v>
      </c>
      <c r="G15" s="16">
        <f t="shared" si="3"/>
        <v>12.907215519057601</v>
      </c>
    </row>
    <row r="16" spans="1:7" x14ac:dyDescent="0.35">
      <c r="A16" s="11" t="s">
        <v>20</v>
      </c>
      <c r="B16" s="11">
        <v>203.23</v>
      </c>
      <c r="C16" s="11">
        <v>17.12</v>
      </c>
      <c r="D16" s="15">
        <f t="shared" si="0"/>
        <v>34.792975999999996</v>
      </c>
      <c r="E16" s="16">
        <f t="shared" si="1"/>
        <v>0.17119999999999999</v>
      </c>
      <c r="F16" s="16">
        <f t="shared" si="2"/>
        <v>21.604326657894731</v>
      </c>
      <c r="G16" s="16">
        <f t="shared" si="3"/>
        <v>466.74693034102091</v>
      </c>
    </row>
    <row r="17" spans="1:7" x14ac:dyDescent="0.35">
      <c r="A17" s="11" t="s">
        <v>21</v>
      </c>
      <c r="B17" s="11">
        <v>148.62</v>
      </c>
      <c r="C17" s="11">
        <v>8.9600000000000009</v>
      </c>
      <c r="D17" s="15">
        <f t="shared" si="0"/>
        <v>13.316352000000002</v>
      </c>
      <c r="E17" s="16">
        <f t="shared" si="1"/>
        <v>8.9600000000000013E-2</v>
      </c>
      <c r="F17" s="16">
        <f t="shared" si="2"/>
        <v>0.12770265789473889</v>
      </c>
      <c r="G17" s="16">
        <f t="shared" si="3"/>
        <v>1.6307968833380718E-2</v>
      </c>
    </row>
    <row r="18" spans="1:7" x14ac:dyDescent="0.35">
      <c r="A18" s="11" t="s">
        <v>22</v>
      </c>
      <c r="B18" s="11">
        <v>125.69</v>
      </c>
      <c r="C18" s="11">
        <v>5.36</v>
      </c>
      <c r="D18" s="15">
        <f t="shared" si="0"/>
        <v>6.7369839999999996</v>
      </c>
      <c r="E18" s="16">
        <f t="shared" si="1"/>
        <v>5.3599999999999995E-2</v>
      </c>
      <c r="F18" s="16">
        <f t="shared" si="2"/>
        <v>-6.4516653421052634</v>
      </c>
      <c r="G18" s="16">
        <f t="shared" si="3"/>
        <v>41.623985686522225</v>
      </c>
    </row>
    <row r="19" spans="1:7" x14ac:dyDescent="0.35">
      <c r="A19" s="11" t="s">
        <v>23</v>
      </c>
      <c r="B19" s="11">
        <v>111.03</v>
      </c>
      <c r="C19" s="11">
        <v>9.7100000000000009</v>
      </c>
      <c r="D19" s="15">
        <f t="shared" si="0"/>
        <v>10.781013</v>
      </c>
      <c r="E19" s="16">
        <f t="shared" si="1"/>
        <v>9.7099999999999992E-2</v>
      </c>
      <c r="F19" s="16">
        <f t="shared" si="2"/>
        <v>-2.4076363421052633</v>
      </c>
      <c r="G19" s="16">
        <f t="shared" si="3"/>
        <v>5.7967127558260128</v>
      </c>
    </row>
    <row r="20" spans="1:7" x14ac:dyDescent="0.35">
      <c r="A20" s="11" t="s">
        <v>24</v>
      </c>
      <c r="B20" s="11">
        <v>115.48</v>
      </c>
      <c r="C20" s="11">
        <v>9.0399999999999991</v>
      </c>
      <c r="D20" s="15">
        <f t="shared" si="0"/>
        <v>10.439392</v>
      </c>
      <c r="E20" s="16">
        <f t="shared" si="1"/>
        <v>9.0399999999999994E-2</v>
      </c>
      <c r="F20" s="16">
        <f t="shared" si="2"/>
        <v>-2.7492573421052633</v>
      </c>
      <c r="G20" s="16">
        <f t="shared" si="3"/>
        <v>7.5584159331196963</v>
      </c>
    </row>
    <row r="21" spans="1:7" x14ac:dyDescent="0.35">
      <c r="A21" s="11" t="s">
        <v>25</v>
      </c>
      <c r="B21" s="11">
        <v>113.63</v>
      </c>
      <c r="C21" s="11">
        <v>10.7</v>
      </c>
      <c r="D21" s="15">
        <f t="shared" si="0"/>
        <v>12.158409999999998</v>
      </c>
      <c r="E21" s="16">
        <f t="shared" si="1"/>
        <v>0.10699999999999998</v>
      </c>
      <c r="F21" s="16">
        <f t="shared" si="2"/>
        <v>-1.0302393421052649</v>
      </c>
      <c r="G21" s="16">
        <f t="shared" si="3"/>
        <v>1.0613931020214891</v>
      </c>
    </row>
    <row r="22" spans="1:7" x14ac:dyDescent="0.35">
      <c r="A22" s="11" t="s">
        <v>26</v>
      </c>
      <c r="B22" s="11">
        <v>74.069999999999993</v>
      </c>
      <c r="C22" s="11">
        <v>10.79</v>
      </c>
      <c r="D22" s="15">
        <f t="shared" si="0"/>
        <v>7.9921529999999983</v>
      </c>
      <c r="E22" s="16">
        <f t="shared" si="1"/>
        <v>0.10789999999999998</v>
      </c>
      <c r="F22" s="16">
        <f t="shared" si="2"/>
        <v>-5.1964963421052648</v>
      </c>
      <c r="G22" s="16">
        <f t="shared" si="3"/>
        <v>27.003574233513397</v>
      </c>
    </row>
    <row r="23" spans="1:7" x14ac:dyDescent="0.35">
      <c r="A23" s="11" t="s">
        <v>27</v>
      </c>
      <c r="B23" s="11">
        <v>62.65</v>
      </c>
      <c r="C23" s="11">
        <v>9.84</v>
      </c>
      <c r="D23" s="15">
        <f t="shared" si="0"/>
        <v>6.1647600000000002</v>
      </c>
      <c r="E23" s="16">
        <f t="shared" si="1"/>
        <v>9.8400000000000001E-2</v>
      </c>
      <c r="F23" s="16">
        <f t="shared" si="2"/>
        <v>-7.0238893421052628</v>
      </c>
      <c r="G23" s="16">
        <f t="shared" si="3"/>
        <v>49.335021490139901</v>
      </c>
    </row>
    <row r="24" spans="1:7" x14ac:dyDescent="0.35">
      <c r="A24" s="11" t="s">
        <v>28</v>
      </c>
      <c r="B24" s="11">
        <v>119.02</v>
      </c>
      <c r="C24" s="11">
        <v>14.15</v>
      </c>
      <c r="D24" s="15">
        <f t="shared" si="0"/>
        <v>16.841329999999999</v>
      </c>
      <c r="E24" s="16">
        <f t="shared" si="1"/>
        <v>0.14149999999999999</v>
      </c>
      <c r="F24" s="16">
        <f t="shared" si="2"/>
        <v>3.6526806578947362</v>
      </c>
      <c r="G24" s="16">
        <f t="shared" si="3"/>
        <v>13.342075988558323</v>
      </c>
    </row>
    <row r="25" spans="1:7" x14ac:dyDescent="0.35">
      <c r="A25" s="11" t="s">
        <v>29</v>
      </c>
      <c r="B25" s="11">
        <v>153.4</v>
      </c>
      <c r="C25" s="11">
        <v>12.21</v>
      </c>
      <c r="D25" s="15">
        <f t="shared" si="0"/>
        <v>18.730140000000002</v>
      </c>
      <c r="E25" s="16">
        <f t="shared" si="1"/>
        <v>0.12210000000000001</v>
      </c>
      <c r="F25" s="16">
        <f t="shared" si="2"/>
        <v>5.5414906578947392</v>
      </c>
      <c r="G25" s="16">
        <f t="shared" si="3"/>
        <v>30.70811871153467</v>
      </c>
    </row>
    <row r="26" spans="1:7" x14ac:dyDescent="0.35">
      <c r="A26" s="11" t="s">
        <v>30</v>
      </c>
      <c r="B26" s="11">
        <v>178.05</v>
      </c>
      <c r="C26" s="11">
        <v>15.02</v>
      </c>
      <c r="D26" s="15">
        <f t="shared" si="0"/>
        <v>26.743110000000001</v>
      </c>
      <c r="E26" s="16">
        <f t="shared" si="1"/>
        <v>0.1502</v>
      </c>
      <c r="F26" s="16">
        <f t="shared" si="2"/>
        <v>13.554460657894738</v>
      </c>
      <c r="G26" s="16">
        <f t="shared" si="3"/>
        <v>183.72340372641625</v>
      </c>
    </row>
    <row r="27" spans="1:7" x14ac:dyDescent="0.35">
      <c r="A27" s="11" t="s">
        <v>31</v>
      </c>
      <c r="B27" s="11">
        <v>151.08000000000001</v>
      </c>
      <c r="C27" s="11">
        <v>12.53</v>
      </c>
      <c r="D27" s="15">
        <f t="shared" si="0"/>
        <v>18.930323999999999</v>
      </c>
      <c r="E27" s="16">
        <f t="shared" si="1"/>
        <v>0.12529999999999999</v>
      </c>
      <c r="F27" s="16">
        <f t="shared" si="2"/>
        <v>5.7416746578947357</v>
      </c>
      <c r="G27" s="16">
        <f t="shared" si="3"/>
        <v>32.966827877110632</v>
      </c>
    </row>
    <row r="28" spans="1:7" x14ac:dyDescent="0.35">
      <c r="A28" s="11" t="s">
        <v>32</v>
      </c>
      <c r="B28" s="11">
        <v>149.63999999999999</v>
      </c>
      <c r="C28" s="11">
        <v>11.06</v>
      </c>
      <c r="D28" s="15">
        <f t="shared" si="0"/>
        <v>16.550183999999998</v>
      </c>
      <c r="E28" s="16">
        <f t="shared" si="1"/>
        <v>0.11059999999999999</v>
      </c>
      <c r="F28" s="16">
        <f t="shared" si="2"/>
        <v>3.3615346578947349</v>
      </c>
      <c r="G28" s="16">
        <f t="shared" si="3"/>
        <v>11.299915256227473</v>
      </c>
    </row>
    <row r="29" spans="1:7" x14ac:dyDescent="0.35">
      <c r="A29" s="11" t="s">
        <v>33</v>
      </c>
      <c r="B29" s="11">
        <v>196.11</v>
      </c>
      <c r="C29" s="11">
        <v>19.440000000000001</v>
      </c>
      <c r="D29" s="15">
        <f t="shared" si="0"/>
        <v>38.123784000000008</v>
      </c>
      <c r="E29" s="16">
        <f t="shared" si="1"/>
        <v>0.19440000000000002</v>
      </c>
      <c r="F29" s="16">
        <f t="shared" si="2"/>
        <v>24.935134657894743</v>
      </c>
      <c r="G29" s="16">
        <f t="shared" si="3"/>
        <v>621.76094040734358</v>
      </c>
    </row>
    <row r="30" spans="1:7" x14ac:dyDescent="0.35">
      <c r="A30" s="11" t="s">
        <v>34</v>
      </c>
      <c r="B30" s="11">
        <v>217.97</v>
      </c>
      <c r="C30" s="11">
        <v>21.61</v>
      </c>
      <c r="D30" s="15">
        <f t="shared" si="0"/>
        <v>47.103316999999997</v>
      </c>
      <c r="E30" s="16">
        <f t="shared" si="1"/>
        <v>0.21609999999999999</v>
      </c>
      <c r="F30" s="16">
        <f t="shared" si="2"/>
        <v>33.914667657894732</v>
      </c>
      <c r="G30" s="16">
        <f t="shared" si="3"/>
        <v>1150.2046823454509</v>
      </c>
    </row>
    <row r="31" spans="1:7" x14ac:dyDescent="0.35">
      <c r="A31" s="11" t="s">
        <v>35</v>
      </c>
      <c r="B31" s="11">
        <v>126.02</v>
      </c>
      <c r="C31" s="11">
        <v>13.93</v>
      </c>
      <c r="D31" s="15">
        <f t="shared" si="0"/>
        <v>17.554586</v>
      </c>
      <c r="E31" s="16">
        <f t="shared" si="1"/>
        <v>0.13930000000000001</v>
      </c>
      <c r="F31" s="16">
        <f t="shared" si="2"/>
        <v>4.3659366578947374</v>
      </c>
      <c r="G31" s="16">
        <f t="shared" si="3"/>
        <v>19.061402900749069</v>
      </c>
    </row>
    <row r="32" spans="1:7" x14ac:dyDescent="0.35">
      <c r="A32" s="11" t="s">
        <v>36</v>
      </c>
      <c r="B32" s="11">
        <v>206.2</v>
      </c>
      <c r="C32" s="11">
        <v>18.760000000000002</v>
      </c>
      <c r="D32" s="15">
        <f t="shared" si="0"/>
        <v>38.683120000000002</v>
      </c>
      <c r="E32" s="16">
        <f t="shared" si="1"/>
        <v>0.18760000000000002</v>
      </c>
      <c r="F32" s="16">
        <f t="shared" si="2"/>
        <v>25.494470657894738</v>
      </c>
      <c r="G32" s="16">
        <f t="shared" si="3"/>
        <v>649.9680341262557</v>
      </c>
    </row>
    <row r="33" spans="1:7" x14ac:dyDescent="0.35">
      <c r="A33" s="11" t="s">
        <v>13</v>
      </c>
      <c r="B33" s="11">
        <v>21.15</v>
      </c>
      <c r="C33" s="11">
        <v>7.23</v>
      </c>
      <c r="D33" s="15">
        <f t="shared" si="0"/>
        <v>1.529145</v>
      </c>
      <c r="E33" s="16">
        <f t="shared" si="1"/>
        <v>7.2300000000000003E-2</v>
      </c>
      <c r="F33" s="16">
        <f t="shared" si="2"/>
        <v>-11.659504342105263</v>
      </c>
      <c r="G33" s="16">
        <f t="shared" si="3"/>
        <v>135.9440415035715</v>
      </c>
    </row>
    <row r="34" spans="1:7" x14ac:dyDescent="0.35">
      <c r="A34" s="11" t="s">
        <v>12</v>
      </c>
      <c r="B34" s="11">
        <v>10.65</v>
      </c>
      <c r="C34" s="11">
        <v>7.37</v>
      </c>
      <c r="D34" s="15">
        <f t="shared" si="0"/>
        <v>0.78490499999999996</v>
      </c>
      <c r="E34" s="16">
        <f t="shared" si="1"/>
        <v>7.3699999999999988E-2</v>
      </c>
      <c r="F34" s="16">
        <f t="shared" si="2"/>
        <v>-12.403744342105263</v>
      </c>
      <c r="G34" s="16">
        <f t="shared" si="3"/>
        <v>153.85287370430831</v>
      </c>
    </row>
    <row r="35" spans="1:7" x14ac:dyDescent="0.35">
      <c r="A35" s="11" t="s">
        <v>14</v>
      </c>
      <c r="B35" s="11">
        <v>38.56</v>
      </c>
      <c r="C35" s="11">
        <v>4.37</v>
      </c>
      <c r="D35" s="15">
        <f t="shared" si="0"/>
        <v>1.6850720000000001</v>
      </c>
      <c r="E35" s="16">
        <f t="shared" si="1"/>
        <v>4.3700000000000003E-2</v>
      </c>
      <c r="F35" s="16">
        <f t="shared" si="2"/>
        <v>-11.503577342105263</v>
      </c>
      <c r="G35" s="16">
        <f t="shared" si="3"/>
        <v>132.33229166579758</v>
      </c>
    </row>
    <row r="36" spans="1:7" x14ac:dyDescent="0.35">
      <c r="A36" s="11" t="s">
        <v>20</v>
      </c>
      <c r="B36" s="11">
        <v>16.16</v>
      </c>
      <c r="C36" s="11">
        <v>6.65</v>
      </c>
      <c r="D36" s="15">
        <f t="shared" si="0"/>
        <v>1.07464</v>
      </c>
      <c r="E36" s="16">
        <f t="shared" si="1"/>
        <v>6.6500000000000004E-2</v>
      </c>
      <c r="F36" s="16">
        <f t="shared" si="2"/>
        <v>-12.114009342105263</v>
      </c>
      <c r="G36" s="16">
        <f t="shared" si="3"/>
        <v>146.74922234061358</v>
      </c>
    </row>
    <row r="37" spans="1:7" x14ac:dyDescent="0.35">
      <c r="A37" s="11" t="s">
        <v>21</v>
      </c>
      <c r="B37" s="11">
        <v>13.02</v>
      </c>
      <c r="C37" s="11">
        <v>6.37</v>
      </c>
      <c r="D37" s="15">
        <f t="shared" si="0"/>
        <v>0.82937399999999994</v>
      </c>
      <c r="E37" s="16">
        <f t="shared" si="1"/>
        <v>6.3699999999999993E-2</v>
      </c>
      <c r="F37" s="16">
        <f t="shared" si="2"/>
        <v>-12.359275342105263</v>
      </c>
      <c r="G37" s="16">
        <f t="shared" si="3"/>
        <v>152.75168698197118</v>
      </c>
    </row>
    <row r="38" spans="1:7" x14ac:dyDescent="0.35">
      <c r="A38" s="11" t="s">
        <v>23</v>
      </c>
      <c r="B38" s="11">
        <v>7.88</v>
      </c>
      <c r="C38" s="11">
        <v>5.98</v>
      </c>
      <c r="D38" s="15">
        <f t="shared" si="0"/>
        <v>0.47122400000000009</v>
      </c>
      <c r="E38" s="16">
        <f t="shared" si="1"/>
        <v>5.9800000000000013E-2</v>
      </c>
      <c r="F38" s="16">
        <f t="shared" si="2"/>
        <v>-12.717425342105264</v>
      </c>
      <c r="G38" s="16">
        <f t="shared" si="3"/>
        <v>161.73290733202117</v>
      </c>
    </row>
    <row r="39" spans="1:7" x14ac:dyDescent="0.35">
      <c r="A39" s="11" t="s">
        <v>26</v>
      </c>
      <c r="B39" s="11">
        <v>8.49</v>
      </c>
      <c r="C39" s="11">
        <v>4.76</v>
      </c>
      <c r="D39" s="15">
        <f t="shared" si="0"/>
        <v>0.40412399999999998</v>
      </c>
      <c r="E39" s="16">
        <f t="shared" si="1"/>
        <v>4.7599999999999996E-2</v>
      </c>
      <c r="F39" s="16">
        <f t="shared" si="2"/>
        <v>-12.784525342105264</v>
      </c>
      <c r="G39" s="16">
        <f t="shared" si="3"/>
        <v>163.4440882229317</v>
      </c>
    </row>
    <row r="40" spans="1:7" x14ac:dyDescent="0.35">
      <c r="A40" s="11" t="s">
        <v>37</v>
      </c>
      <c r="B40" s="11">
        <v>138.21</v>
      </c>
      <c r="C40" s="11">
        <v>4.72</v>
      </c>
      <c r="D40" s="15">
        <f t="shared" si="0"/>
        <v>6.5235119999999993</v>
      </c>
      <c r="E40" s="16">
        <f t="shared" si="1"/>
        <v>4.7199999999999992E-2</v>
      </c>
      <c r="F40" s="16">
        <f t="shared" si="2"/>
        <v>-6.6651373421052638</v>
      </c>
      <c r="G40" s="16">
        <f t="shared" si="3"/>
        <v>44.424055789126022</v>
      </c>
    </row>
    <row r="41" spans="1:7" x14ac:dyDescent="0.35">
      <c r="A41" s="11" t="s">
        <v>38</v>
      </c>
      <c r="B41" s="11">
        <v>8.0500000000000007</v>
      </c>
      <c r="C41" s="11">
        <v>3.79</v>
      </c>
      <c r="D41" s="15">
        <f t="shared" si="0"/>
        <v>0.30509500000000001</v>
      </c>
      <c r="E41" s="16">
        <f t="shared" si="1"/>
        <v>3.7899999999999996E-2</v>
      </c>
      <c r="F41" s="16">
        <f t="shared" si="2"/>
        <v>-12.883554342105263</v>
      </c>
      <c r="G41" s="16">
        <f t="shared" si="3"/>
        <v>165.98597248597937</v>
      </c>
    </row>
    <row r="42" spans="1:7" x14ac:dyDescent="0.35">
      <c r="C42" s="12" t="s">
        <v>39</v>
      </c>
      <c r="D42" s="13">
        <f>SUM(D4:D41)</f>
        <v>501.16867500000001</v>
      </c>
    </row>
    <row r="43" spans="1:7" x14ac:dyDescent="0.35">
      <c r="C43" s="12" t="s">
        <v>40</v>
      </c>
      <c r="D43" s="14">
        <f>AVERAGE(D4:D41)</f>
        <v>13.188649342105263</v>
      </c>
    </row>
    <row r="44" spans="1:7" x14ac:dyDescent="0.35">
      <c r="C44" s="12" t="s">
        <v>41</v>
      </c>
      <c r="D44" s="14">
        <f>SUM(E4:E41)</f>
        <v>3.9238</v>
      </c>
    </row>
    <row r="45" spans="1:7" x14ac:dyDescent="0.35">
      <c r="C45" s="12" t="s">
        <v>4</v>
      </c>
      <c r="D45" s="14">
        <f>D44/38</f>
        <v>0.1032578947368421</v>
      </c>
    </row>
    <row r="46" spans="1:7" x14ac:dyDescent="0.35">
      <c r="C46" s="12" t="s">
        <v>42</v>
      </c>
      <c r="D46" s="13">
        <f>SUM(G4:G41)</f>
        <v>4989.8950409927857</v>
      </c>
    </row>
    <row r="47" spans="1:7" x14ac:dyDescent="0.35">
      <c r="C47" s="12" t="s">
        <v>43</v>
      </c>
      <c r="D47" s="14">
        <f>D46/37</f>
        <v>134.86202813494015</v>
      </c>
    </row>
    <row r="48" spans="1:7" x14ac:dyDescent="0.35">
      <c r="C48" s="12" t="s">
        <v>44</v>
      </c>
      <c r="D48" s="14">
        <f>1-D45</f>
        <v>0.8967421052631579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2026-06-02T02:09:47Z</dcterms:created>
  <dcterms:modified xsi:type="dcterms:W3CDTF">2026-06-02T02:49:57Z</dcterms:modified>
</cp:coreProperties>
</file>